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ko/Documents/N6ARA Electronics/GitHub/TinyGawant/BOM/"/>
    </mc:Choice>
  </mc:AlternateContent>
  <xr:revisionPtr revIDLastSave="0" documentId="13_ncr:1_{E4C8BF04-1B7D-A248-98F2-D22A5858F62E}" xr6:coauthVersionLast="47" xr6:coauthVersionMax="47" xr10:uidLastSave="{00000000-0000-0000-0000-000000000000}"/>
  <bookViews>
    <workbookView xWindow="2340" yWindow="4280" windowWidth="28040" windowHeight="17440" xr2:uid="{AE5E156E-F7C5-F840-9AF4-BD052DCDC38D}"/>
  </bookViews>
  <sheets>
    <sheet name="BOM_TinyGawant_Rev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24" i="1"/>
  <c r="E21" i="1"/>
  <c r="E20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<sst xmlns="http://schemas.openxmlformats.org/spreadsheetml/2006/main" count="78" uniqueCount="71">
  <si>
    <t>Reference</t>
  </si>
  <si>
    <t>Value</t>
  </si>
  <si>
    <t>Qty</t>
  </si>
  <si>
    <t>MPN</t>
  </si>
  <si>
    <t>C2,C3</t>
  </si>
  <si>
    <t>GMC21X7R103J50NT</t>
  </si>
  <si>
    <t>D1</t>
  </si>
  <si>
    <t>750-CDBW46-G</t>
  </si>
  <si>
    <t>CDBW46-G</t>
  </si>
  <si>
    <t>D2</t>
  </si>
  <si>
    <t>RED</t>
  </si>
  <si>
    <t>156125RS57000</t>
  </si>
  <si>
    <t>D3</t>
  </si>
  <si>
    <t>TZMC3V3-GS08</t>
  </si>
  <si>
    <t>J2,J3</t>
  </si>
  <si>
    <t>7695-3</t>
  </si>
  <si>
    <t>R1,R2,R4</t>
  </si>
  <si>
    <t>CRM2512-FX-51R0ELF</t>
  </si>
  <si>
    <t>R3</t>
  </si>
  <si>
    <t>1k</t>
  </si>
  <si>
    <t>RC0805FR-071KL</t>
  </si>
  <si>
    <t>SW1</t>
  </si>
  <si>
    <t>SW_DPDT_x2</t>
  </si>
  <si>
    <t>JS202011AQN</t>
  </si>
  <si>
    <t>SW2</t>
  </si>
  <si>
    <t>SW_SPDT</t>
  </si>
  <si>
    <t>JS102011SAQN</t>
  </si>
  <si>
    <t>C1</t>
  </si>
  <si>
    <t>T1</t>
  </si>
  <si>
    <t>J1</t>
  </si>
  <si>
    <t>CBM-443BF</t>
  </si>
  <si>
    <t>Link</t>
  </si>
  <si>
    <t>https://www.aliexpress.us/item/2255800609195661.html?spm=a2g0o.productlist.main.1.4ba9unA0unA0IK&amp;algo_pvid=9f4554e2-11d2-4adb-a82a-5c57be2beff6&amp;algo_exp_id=9f4554e2-11d2-4adb-a82a-5c57be2beff6-0&amp;pdp_ext_f=%7B%22order%22%3A%2219%22%2C%22eval%22%3A%221%22%2C%22fromPage%22%3A%22search%22%7D&amp;pdp_npi=6%40dis%21USD%219.55%219.55%21%21%219.55%219.55%21%40210325a917660290419132931edb34%2112000030048704721%21sea%21US%213483570996%21X%211%210%21n_tag%3A-29919%3Bd%3A486aba74%3Bm03_new_user%3A-29895&amp;curPageLogUid=80i4KDQZDI0j&amp;utparam-url=scene%3Asearch%7Cquery_from%3A%7Cx_object_id%3A4000795510413%7C_p_origin_prod%3A</t>
  </si>
  <si>
    <t>PCB</t>
  </si>
  <si>
    <t>JLCPCB</t>
  </si>
  <si>
    <t>Antenna</t>
  </si>
  <si>
    <t>https://www.aliexpress.us/item/2251832701726364.html?spm=a2g0o.order_list.order_list_main.10.7baa1802WhGK7p&amp;gatewayAdapt=glo2usa</t>
  </si>
  <si>
    <t>M3 Male Thread Screw On Telescopic Antenna 7 Sections 97.3CM</t>
  </si>
  <si>
    <t>https://www.aliexpress.us/item/2251832111232237.html?spm=a2g0o.order_list.order_list_main.30.19c11802AYXWxt&amp;gatewayAdapt=glo2usa</t>
  </si>
  <si>
    <t>BNC Thru Hole Plug male Vertical PCB Mount Straight RF Coax ADAPTER</t>
  </si>
  <si>
    <t>https://www.amidoncorp.com/t50-6/</t>
  </si>
  <si>
    <t xml:space="preserve">T50-6 </t>
  </si>
  <si>
    <t>Thumb Screw</t>
  </si>
  <si>
    <t>https://www.amazon.com/dp/B0BZRM6ZYM?ref_=ppx_hzsearch_conn_dt_b_fed_asin_title_9&amp;th=1</t>
  </si>
  <si>
    <t xml:space="preserve">M3x6mm(DXL) Knurled Thumb Screws </t>
  </si>
  <si>
    <t>M2.5x10mm</t>
  </si>
  <si>
    <t>https://www.amazon.com/iexcell-Thread-Stainless-Socket-Screws/dp/B0D7S1CFY4/ref=sr_1_4?crid=2VYQDS9NBXPDM&amp;dib=eyJ2IjoiMSJ9.6IdWF1KS9up2-68SB95SCdtc757QYguXkp7deq_GiLSx3mRKNbSz8PafXucu_bR1HlSgxTw8Oi5JsGzD0Na3QWw45FbOaJtrC3LRqmkR9H7xdXWdOwJtryIMV_AITB42_MrGjV9KnyE3xbHgO2Ai6jtUQXRHpUofpyKtbHCC9xAnoaEtkMTntXcrhkiz-Zg6VB8VX0X3wjkbPGpiTjaQeo2pKQhXxtjhm8TPgs7Ndehw36VPt3N1rICxx_WByKQ8p_0Z1YXToFkD_uvstXmfLsCRzDgoErZ91VG9cnVDYp8.x17g8oL5lIkTWUjVHKVkuFdCkkqSi0Wjf5C8i3GNt28&amp;dib_tag=se&amp;keywords=m2.5x10mm&amp;qid=1766029708&amp;s=industrial&amp;sprefix=m2.5x10mm%2Cindustrial%2C185&amp;sr=1-4&amp;th=1</t>
  </si>
  <si>
    <t>M2.5x6mm</t>
  </si>
  <si>
    <t>https://www.amazon.com/iexcell-Thread-Stainless-Socket-Screws/dp/B0D7S1CM87/ref=sr_1_6?crid=1CXW6K9J3ZCPX&amp;dib=eyJ2IjoiMSJ9.rlGC7VeNOGb95GTwWYMG3YK5wx6haAyVVB_8jZxIAQlknvBItzOLscqxAatXyEYcGgH9CUqQQdoJc7bJqa1etwYSdWvcecNvXGB4LB73Tj147z-z4Afpn_eBOtiBaJUzPsyNnuunTxzEfTFqiHIZYZkon9VXCFCsyPYIbUNBYHFxio1p29YFfu4XhxcbY5oNwLBuwZn6PCSjlk6UtK0nYQIxt3mXyHrEifEW37pgY_M4YBQ6v58EnwDsU82Jbwvo8_rkevXg25EUtNk9ElV-7Tc2QgiyvDc-nIiLRwmXre4.WjPKBldjNt90g7ULAddvwEYPLiqOI9hJnIq0_LRLWuY&amp;dib_tag=se&amp;keywords=m2.5x6mm&amp;qid=1766029785&amp;s=industrial&amp;sprefix=m2.5x6mm%2Cindustrial%2C224&amp;sr=1-6&amp;th=1</t>
  </si>
  <si>
    <t>https://www.amazon.com/iexcell-Thread-Stainless-Socket-Screws/dp/B089KSQRQQ/ref=sr_1_6?crid=1CXW6K9J3ZCPX&amp;dib=eyJ2IjoiMSJ9.rlGC7VeNOGb95GTwWYMG3YK5wx6haAyVVB_8jZxIAQlknvBItzOLscqxAatXyEYcGgH9CUqQQdoJc7bJqa1etwYSdWvcecNvXGB4LB73Tj147z-z4Afpn_eBOtiBaJUzPsyNnuunTxzEfTFqiHIZYZkon9VXCFCsyPYIbUNBYHFxio1p29YFfu4XhxcbY5oNwLBuwZn6PCSjlk6UtK0nYQIxt3mXyHrEifEW37pgY_M4YBQ6v58EnwDsU82Jbwvo8_rkevXg25EUtNk9ElV-7Tc2QgiyvDc-nIiLRwmXre4.WjPKBldjNt90g7ULAddvwEYPLiqOI9hJnIq0_LRLWuY&amp;dib_tag=se&amp;keywords=m2.5x6mm&amp;qid=1766029785&amp;s=industrial&amp;sprefix=m2.5x6mm%2Cindustrial%2C224&amp;sr=1-6&amp;th=1</t>
  </si>
  <si>
    <t>M3 x 12mm</t>
  </si>
  <si>
    <t>Total</t>
  </si>
  <si>
    <t>26AWG Green Enamel Wire</t>
  </si>
  <si>
    <t>24AWG Red Enamel Wire</t>
  </si>
  <si>
    <t>https://www.amazon.com/BNTECHGO-AWG-Magnet-Wire-Transformers/dp/B07DYHWLN4/ref=sr_1_5?dib=eyJ2IjoiMSJ9.T3Ul6AAFydmV-d_-CiWqSOo4gGqiz7pPGX4uu-tgp91Uz8UDmDqH8WcqGDNCB0nASmRUuhfX4iN0RZakJU07DzAEplyXYHcojTMP4m3FGJ5JPHVgh9WsCtBBpnL-l5gtozaZ1Zccg2B47I56QOWE9TdXpyhM0Vq-aou5cLVF9d2If9T7cT1eBVhsQfHPZ0qK1IjkOvqHsRwgkZCcfU0RhXIqun1H3sMrp-vOuHH7bHs.keJAopHhCjqzf_ORW6_Log1OwxKHoD8gj3qxIPjLaFU&amp;dib_tag=se&amp;keywords=enameled%2Bcopper%2Bwire&amp;qid=1766271692&amp;sr=8-5&amp;th=1</t>
  </si>
  <si>
    <t>https://www.amazon.com/BNTECHGO-AWG-Magnet-Wire-Transformers/dp/B07HRKKMPS/ref=sr_1_7_sspa?crid=12PVFVFD45WC4&amp;dib=eyJ2IjoiMSJ9.GfGCp1Wvx140pjLuMz3aI6wPrbZKYdBhCtRZ81xGu0XV6En0x5usAIXu_J4MJaXPsP8uD7tngx8WYsTls0IkxnFTFDnihgmKaGvu-rIKCmCyTX7a91kWyUFfrHj6u5lWP90B42q8rxUwtCxCaqo-L1I87Z-IyXnA_l0naAeAXoElYpJOL3EA33wngyAXwEBi08_0SWSdL1r4gnfuAwbsb6yLQ70njgJULhZOC5WoDEk.dYYUVAtyiKCv2QUEBzB8P9SjXI8Gwk2B3BbFux3aPSo&amp;dib_tag=se&amp;keywords=enameled%2Bwire%2Bgreen&amp;qid=1766271862&amp;sprefix=enameled%2Bwire%2Bgreen%2Caps%2C223&amp;sr=8-7-spons&amp;sp_csd=d2lkZ2V0TmFtZT1zcF9tdGY&amp;th=1</t>
  </si>
  <si>
    <t>Get quote at JLCPCB</t>
  </si>
  <si>
    <t>https://www.digikey.com/en/products/detail/cal-chip-electronics-inc/GMC21X7R103J50NT/22577164</t>
  </si>
  <si>
    <t>https://www.digikey.com/en/products/detail/comchip-technology/CDBW46-G/3308556</t>
  </si>
  <si>
    <t>https://www.digikey.com/en/products/detail/würth-elektronik/156125RS57000/9857918</t>
  </si>
  <si>
    <t>https://www.digikey.com/en/products/detail/vishay-general-semiconductor-diodes-division/TZMC3V3-GS08/3104272</t>
  </si>
  <si>
    <t>https://www.digikey.com/en/products/detail/keystone-electronics/7790/2171010</t>
  </si>
  <si>
    <t>https://www.digikey.com/en/products/detail/bourns-inc/CRM2512-FX-51R0ELF/4698407</t>
  </si>
  <si>
    <t>https://www.digikey.com/en/products/detail/yageo/RC0805FR-071KL/727444</t>
  </si>
  <si>
    <t>https://www.digikey.com/en/products/detail/c-k/JS202011AQN/1640096</t>
  </si>
  <si>
    <t>https://www.digikey.com/en/products/detail/c-k/JS102011SAQN/1640095</t>
  </si>
  <si>
    <t>-</t>
  </si>
  <si>
    <t xml:space="preserve"> (per board at volume, total cost may vary minimum quantity buy and shipping)</t>
  </si>
  <si>
    <t>Cost per Unit</t>
  </si>
  <si>
    <t>3D Print Files</t>
  </si>
  <si>
    <t>See "3D Printables"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</si>
</sst>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8" fillId="0" borderId="0" xfId="42"/>
    <xf numFmtId="0" fontId="19" fillId="0" borderId="0" xfId="0" applyFont="1"/>
    <xf numFmtId="164" fontId="0" fillId="0" borderId="0" xfId="0" applyNumberFormat="1"/>
    <xf numFmtId="0" fontId="20" fillId="0" borderId="0" xfId="0" applyFont="1"/>
    <xf numFmtId="0" fontId="20" fillId="0" borderId="0" xfId="0" applyFont="1" applyAlignment="1">
      <alignment horizontal="left"/>
    </xf>
    <xf numFmtId="164" fontId="20" fillId="0" borderId="0" xfId="0" applyNumberFormat="1" applyFont="1"/>
    <xf numFmtId="164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dp/B0BZRM6ZYM?ref_=ppx_hzsearch_conn_dt_b_fed_asin_title_9&amp;th=1" TargetMode="External"/><Relationship Id="rId1" Type="http://schemas.openxmlformats.org/officeDocument/2006/relationships/hyperlink" Target="https://www.aliexpress.us/item/2251832111232237.html?spm=a2g0o.order_list.order_list_main.30.19c11802AYXWxt&amp;gatewayAdapt=glo2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8491-BD96-A144-8D81-0D45AFEC6B64}">
  <dimension ref="A1:F28"/>
  <sheetViews>
    <sheetView tabSelected="1" workbookViewId="0">
      <selection activeCell="D21" sqref="D21"/>
    </sheetView>
  </sheetViews>
  <sheetFormatPr baseColWidth="10" defaultRowHeight="16" x14ac:dyDescent="0.2"/>
  <cols>
    <col min="1" max="1" width="16.1640625" customWidth="1"/>
    <col min="2" max="2" width="16.83203125" customWidth="1"/>
    <col min="4" max="4" width="26" style="1" customWidth="1"/>
    <col min="5" max="5" width="15.5" style="4" customWidth="1"/>
    <col min="6" max="6" width="101.6640625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6" t="s">
        <v>3</v>
      </c>
      <c r="E1" s="7" t="s">
        <v>68</v>
      </c>
      <c r="F1" s="5" t="s">
        <v>31</v>
      </c>
    </row>
    <row r="2" spans="1:6" x14ac:dyDescent="0.2">
      <c r="A2" t="s">
        <v>4</v>
      </c>
      <c r="B2" s="1">
        <v>0.01</v>
      </c>
      <c r="C2">
        <v>2</v>
      </c>
      <c r="D2" s="1" t="s">
        <v>5</v>
      </c>
      <c r="E2" s="4">
        <f>0.1*C2</f>
        <v>0.2</v>
      </c>
      <c r="F2" t="s">
        <v>57</v>
      </c>
    </row>
    <row r="3" spans="1:6" x14ac:dyDescent="0.2">
      <c r="A3" t="s">
        <v>6</v>
      </c>
      <c r="B3" s="1" t="s">
        <v>7</v>
      </c>
      <c r="C3">
        <v>1</v>
      </c>
      <c r="D3" s="1" t="s">
        <v>8</v>
      </c>
      <c r="E3" s="4">
        <f>0.26*C3</f>
        <v>0.26</v>
      </c>
      <c r="F3" t="s">
        <v>58</v>
      </c>
    </row>
    <row r="4" spans="1:6" x14ac:dyDescent="0.2">
      <c r="A4" t="s">
        <v>9</v>
      </c>
      <c r="B4" s="1" t="s">
        <v>10</v>
      </c>
      <c r="C4">
        <v>1</v>
      </c>
      <c r="D4" s="1" t="s">
        <v>11</v>
      </c>
      <c r="E4" s="4">
        <f>0.42*C4</f>
        <v>0.42</v>
      </c>
      <c r="F4" t="s">
        <v>59</v>
      </c>
    </row>
    <row r="5" spans="1:6" x14ac:dyDescent="0.2">
      <c r="A5" t="s">
        <v>12</v>
      </c>
      <c r="B5" s="1" t="s">
        <v>13</v>
      </c>
      <c r="C5">
        <v>1</v>
      </c>
      <c r="D5" s="1" t="s">
        <v>13</v>
      </c>
      <c r="E5" s="4">
        <f>0.13*1</f>
        <v>0.13</v>
      </c>
      <c r="F5" t="s">
        <v>60</v>
      </c>
    </row>
    <row r="6" spans="1:6" x14ac:dyDescent="0.2">
      <c r="A6" t="s">
        <v>14</v>
      </c>
      <c r="B6" s="1" t="s">
        <v>15</v>
      </c>
      <c r="C6">
        <v>2</v>
      </c>
      <c r="D6" s="1">
        <v>7790</v>
      </c>
      <c r="E6" s="4">
        <f>0.64*2</f>
        <v>1.28</v>
      </c>
      <c r="F6" t="s">
        <v>61</v>
      </c>
    </row>
    <row r="7" spans="1:6" x14ac:dyDescent="0.2">
      <c r="A7" t="s">
        <v>16</v>
      </c>
      <c r="B7" s="1">
        <v>50</v>
      </c>
      <c r="C7">
        <v>3</v>
      </c>
      <c r="D7" s="1" t="s">
        <v>17</v>
      </c>
      <c r="E7" s="4">
        <f>0.52*C7</f>
        <v>1.56</v>
      </c>
      <c r="F7" t="s">
        <v>62</v>
      </c>
    </row>
    <row r="8" spans="1:6" x14ac:dyDescent="0.2">
      <c r="A8" t="s">
        <v>18</v>
      </c>
      <c r="B8" s="1" t="s">
        <v>19</v>
      </c>
      <c r="C8">
        <v>1</v>
      </c>
      <c r="D8" s="1" t="s">
        <v>20</v>
      </c>
      <c r="E8" s="4">
        <f>0.12*C8</f>
        <v>0.12</v>
      </c>
      <c r="F8" t="s">
        <v>63</v>
      </c>
    </row>
    <row r="9" spans="1:6" x14ac:dyDescent="0.2">
      <c r="A9" t="s">
        <v>21</v>
      </c>
      <c r="B9" s="1" t="s">
        <v>22</v>
      </c>
      <c r="C9">
        <v>1</v>
      </c>
      <c r="D9" s="1" t="s">
        <v>23</v>
      </c>
      <c r="E9" s="4">
        <f>0.75*C9</f>
        <v>0.75</v>
      </c>
      <c r="F9" t="s">
        <v>64</v>
      </c>
    </row>
    <row r="10" spans="1:6" x14ac:dyDescent="0.2">
      <c r="A10" t="s">
        <v>24</v>
      </c>
      <c r="B10" s="1" t="s">
        <v>25</v>
      </c>
      <c r="C10">
        <v>1</v>
      </c>
      <c r="D10" s="1" t="s">
        <v>26</v>
      </c>
      <c r="E10" s="4">
        <f>0.76*C10</f>
        <v>0.76</v>
      </c>
      <c r="F10" t="s">
        <v>65</v>
      </c>
    </row>
    <row r="11" spans="1:6" x14ac:dyDescent="0.2">
      <c r="A11" t="s">
        <v>27</v>
      </c>
      <c r="B11" s="1"/>
      <c r="C11">
        <v>1</v>
      </c>
      <c r="D11" s="1" t="s">
        <v>30</v>
      </c>
      <c r="E11" s="4">
        <v>2</v>
      </c>
      <c r="F11" t="s">
        <v>32</v>
      </c>
    </row>
    <row r="12" spans="1:6" x14ac:dyDescent="0.2">
      <c r="A12" t="s">
        <v>28</v>
      </c>
      <c r="B12" s="1"/>
      <c r="C12">
        <v>1</v>
      </c>
      <c r="D12" s="1" t="s">
        <v>41</v>
      </c>
      <c r="E12" s="4">
        <f>157/100</f>
        <v>1.57</v>
      </c>
      <c r="F12" t="s">
        <v>40</v>
      </c>
    </row>
    <row r="13" spans="1:6" x14ac:dyDescent="0.2">
      <c r="A13" t="s">
        <v>29</v>
      </c>
      <c r="B13" s="1"/>
      <c r="C13">
        <v>1</v>
      </c>
      <c r="D13" s="1" t="s">
        <v>39</v>
      </c>
      <c r="E13" s="4">
        <v>1</v>
      </c>
      <c r="F13" s="2" t="s">
        <v>38</v>
      </c>
    </row>
    <row r="14" spans="1:6" x14ac:dyDescent="0.2">
      <c r="A14" t="s">
        <v>33</v>
      </c>
      <c r="C14">
        <v>1</v>
      </c>
      <c r="D14" s="1" t="s">
        <v>34</v>
      </c>
      <c r="E14" s="4">
        <v>1</v>
      </c>
      <c r="F14" t="s">
        <v>56</v>
      </c>
    </row>
    <row r="15" spans="1:6" x14ac:dyDescent="0.2">
      <c r="A15" t="s">
        <v>53</v>
      </c>
      <c r="C15">
        <v>1</v>
      </c>
      <c r="E15" s="4" t="s">
        <v>66</v>
      </c>
      <c r="F15" t="s">
        <v>54</v>
      </c>
    </row>
    <row r="16" spans="1:6" x14ac:dyDescent="0.2">
      <c r="A16" t="s">
        <v>52</v>
      </c>
      <c r="C16">
        <v>1</v>
      </c>
      <c r="E16" s="4" t="s">
        <v>66</v>
      </c>
      <c r="F16" t="s">
        <v>55</v>
      </c>
    </row>
    <row r="17" spans="1:6" x14ac:dyDescent="0.2">
      <c r="A17" t="s">
        <v>35</v>
      </c>
      <c r="C17">
        <v>1</v>
      </c>
      <c r="D17" s="1" t="s">
        <v>37</v>
      </c>
      <c r="E17" s="4">
        <v>1.8759999999999999</v>
      </c>
      <c r="F17" t="s">
        <v>36</v>
      </c>
    </row>
    <row r="18" spans="1:6" x14ac:dyDescent="0.2">
      <c r="A18" t="s">
        <v>42</v>
      </c>
      <c r="C18">
        <v>1</v>
      </c>
      <c r="D18" s="1" t="s">
        <v>44</v>
      </c>
      <c r="E18" s="4">
        <v>0.9</v>
      </c>
      <c r="F18" s="2" t="s">
        <v>43</v>
      </c>
    </row>
    <row r="19" spans="1:6" x14ac:dyDescent="0.2">
      <c r="A19" t="s">
        <v>45</v>
      </c>
      <c r="C19">
        <v>2</v>
      </c>
      <c r="D19" t="s">
        <v>45</v>
      </c>
      <c r="E19" s="4">
        <v>0.1</v>
      </c>
      <c r="F19" t="s">
        <v>46</v>
      </c>
    </row>
    <row r="20" spans="1:6" x14ac:dyDescent="0.2">
      <c r="A20" s="3" t="s">
        <v>47</v>
      </c>
      <c r="C20">
        <v>2</v>
      </c>
      <c r="D20" s="3" t="s">
        <v>47</v>
      </c>
      <c r="E20" s="4">
        <f>0.1*C20</f>
        <v>0.2</v>
      </c>
      <c r="F20" t="s">
        <v>48</v>
      </c>
    </row>
    <row r="21" spans="1:6" x14ac:dyDescent="0.2">
      <c r="A21" t="s">
        <v>50</v>
      </c>
      <c r="C21">
        <v>3</v>
      </c>
      <c r="D21" s="1" t="s">
        <v>50</v>
      </c>
      <c r="E21" s="4">
        <f>0.1*C21</f>
        <v>0.30000000000000004</v>
      </c>
      <c r="F21" t="s">
        <v>49</v>
      </c>
    </row>
    <row r="22" spans="1:6" x14ac:dyDescent="0.2">
      <c r="A22" t="s">
        <v>69</v>
      </c>
      <c r="C22">
        <v>1</v>
      </c>
      <c r="D22" s="1" t="s">
        <v>70</v>
      </c>
      <c r="E22" s="4" t="s">
        <v>66</v>
      </c>
      <c r="F22" s="1" t="s">
        <v>70</v>
      </c>
    </row>
    <row r="24" spans="1:6" x14ac:dyDescent="0.2">
      <c r="A24" t="s">
        <v>51</v>
      </c>
      <c r="E24" s="4">
        <f>SUM(E2:E21)</f>
        <v>14.426</v>
      </c>
      <c r="F24" t="s">
        <v>67</v>
      </c>
    </row>
    <row r="28" spans="1:6" x14ac:dyDescent="0.2">
      <c r="D28" s="8"/>
    </row>
  </sheetData>
  <hyperlinks>
    <hyperlink ref="F13" r:id="rId1" xr:uid="{FD9D367E-C768-A44E-811D-25F0B4524F2D}"/>
    <hyperlink ref="F18" r:id="rId2" xr:uid="{A3CE2242-5BDB-FE41-9711-C7677904D9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BOM_TinyGawant_RevC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Kourchians</dc:creator>
  <cp:lastModifiedBy>Ara Kourchians</cp:lastModifiedBy>
  <dcterms:created xsi:type="dcterms:W3CDTF">2025-12-18T03:31:52Z</dcterms:created>
  <dcterms:modified xsi:type="dcterms:W3CDTF">2026-02-09T07:32:10Z</dcterms:modified>
</cp:coreProperties>
</file>